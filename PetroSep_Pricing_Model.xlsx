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Build-Up" sheetId="1" state="visible" r:id="rId3"/>
    <sheet name="Pricing Scenarios" sheetId="2" state="visible" r:id="rId4"/>
    <sheet name="Customer ROI (TCO)" sheetId="3" state="visible" r:id="rId5"/>
    <sheet name="Assumptions &amp;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<sst xmlns="http://schemas.openxmlformats.org/spreadsheetml/2006/main" count="86" uniqueCount="76">
  <si>
    <t xml:space="preserve">PetroSep — Home Unit Cost Build-Up (refined)</t>
  </si>
  <si>
    <t xml:space="preserve">All figures illustrative, pre-diligence. Blue = editable input. Source: user-provided BOM directionals, refined into component-level detail.</t>
  </si>
  <si>
    <t xml:space="preserve">Component</t>
  </si>
  <si>
    <t xml:space="preserve">Category</t>
  </si>
  <si>
    <t xml:space="preserve">Unit Cost (₹)</t>
  </si>
  <si>
    <t xml:space="preserve">Notes</t>
  </si>
  <si>
    <t xml:space="preserve">Injection-molded housing &amp; chamber body</t>
  </si>
  <si>
    <t xml:space="preserve">BOM</t>
  </si>
  <si>
    <t xml:space="preserve">Chemical-resistant PC/PP, Pune/Chennai ancillary sourcing</t>
  </si>
  <si>
    <t xml:space="preserve">Separation chamber insert (stainless + polymer)</t>
  </si>
  <si>
    <t xml:space="preserve">Rated 5+ years / 1,000+ cycles</t>
  </si>
  <si>
    <t xml:space="preserve">Micro-pump + low-speed centrifuge motor</t>
  </si>
  <si>
    <t xml:space="preserve">Water dosing + gravity-assist separation</t>
  </si>
  <si>
    <t xml:space="preserve">Capacitive ethanol sensor</t>
  </si>
  <si>
    <t xml:space="preserve">Same sensing principle as flex-fuel vehicles</t>
  </si>
  <si>
    <t xml:space="preserve">ESP32 controller + PCB assembly</t>
  </si>
  <si>
    <t xml:space="preserve">Off-the-shelf MCU, locally assembled</t>
  </si>
  <si>
    <t xml:space="preserve">Coalescing filter cartridge (1st fit)</t>
  </si>
  <si>
    <t xml:space="preserve">~150-cycle life, swap-and-go</t>
  </si>
  <si>
    <t xml:space="preserve">Desiccant cartridge + heater tray (1st fit)</t>
  </si>
  <si>
    <t xml:space="preserve">Regenerable 20+ times</t>
  </si>
  <si>
    <t xml:space="preserve">Tubing, seals, fittings, byproduct canister</t>
  </si>
  <si>
    <t xml:space="preserve">Ethanol/water-contact rated</t>
  </si>
  <si>
    <t xml:space="preserve">Retail packaging &amp; printed insert</t>
  </si>
  <si>
    <t xml:space="preserve">BOM Subtotal</t>
  </si>
  <si>
    <t xml:space="preserve">Assembly, labor &amp; QC (pressure/leak test)</t>
  </si>
  <si>
    <t xml:space="preserve">Freight, warehousing &amp; inbound logistics allocation</t>
  </si>
  <si>
    <t xml:space="preserve">Landed Cost per Unit</t>
  </si>
  <si>
    <t xml:space="preserve">Warranty &amp; post-sale service reserve (5% of landed cost)</t>
  </si>
  <si>
    <t xml:space="preserve">Fully-Loaded Cost per Unit</t>
  </si>
  <si>
    <t xml:space="preserve">PetroSep — Refined Pricing Scenarios (Home Unit)</t>
  </si>
  <si>
    <t xml:space="preserve">Fully-loaded cost pulled from 'Cost Build-Up' sheet. Price points match the 3-arm test in the synthetic survey (₹3,999 / ₹4,499 / ₹5,999).</t>
  </si>
  <si>
    <t xml:space="preserve">Price Strategy</t>
  </si>
  <si>
    <t xml:space="preserve">Retail Price (₹)</t>
  </si>
  <si>
    <t xml:space="preserve">Gross Margin (₹)</t>
  </si>
  <si>
    <t xml:space="preserve">Gross Margin (%)</t>
  </si>
  <si>
    <t xml:space="preserve">Positioning rationale</t>
  </si>
  <si>
    <t xml:space="preserve">Founder / Pilot Batch (first 500 units)</t>
  </si>
  <si>
    <t xml:space="preserve">Scarcity-priced to seed the 500-unit pilot batch (Slide 14) and generate case-study owners fast; matches the low end of the survey price test.</t>
  </si>
  <si>
    <t xml:space="preserve">Standard Retail (post-pilot MRP)</t>
  </si>
  <si>
    <t xml:space="preserve">Up from the original ₹4,500 MRP — backed by the sharper 2026 pain data (66% of pre-2023 owners now report &gt;10% mileage loss); still ~40-50% below a full PTFE/Viton retrofit + years of additive spend.</t>
  </si>
  <si>
    <t xml:space="preserve">Premium (device + pro install + 1yr cartridge pack)</t>
  </si>
  <si>
    <t xml:space="preserve">Bundles the desiccant + filter cartridge refill pack and a doorstep install — for buyers who convert best on convenience, per the survey's payment-mode split.</t>
  </si>
  <si>
    <t xml:space="preserve">Recommended launch price: ₹4,999 standard / ₹3,999 pilot-only</t>
  </si>
  <si>
    <t xml:space="preserve">Alternative Payment Structures</t>
  </si>
  <si>
    <t xml:space="preserve">Structure</t>
  </si>
  <si>
    <t xml:space="preserve">Basis</t>
  </si>
  <si>
    <t xml:space="preserve">Monthly (₹)</t>
  </si>
  <si>
    <t xml:space="preserve">No-cost EMI, 10 months</t>
  </si>
  <si>
    <t xml:space="preserve">Removes upfront-cost objection; survey shows EMI is the plurality preference at ≥₹4,499 price points</t>
  </si>
  <si>
    <t xml:space="preserve">Cartridge refill subscription</t>
  </si>
  <si>
    <t xml:space="preserve">Every 6 months; refined up from ₹150 to reflect coalescing-filter + desiccant COGS with margin</t>
  </si>
  <si>
    <t xml:space="preserve">PetroSep — Customer Payback Model, Two-Wheeler, 24 Months</t>
  </si>
  <si>
    <t xml:space="preserve">Shows the customer's own economics — what we lead with in the pitch to prove PetroSep 'profits them', not just us.</t>
  </si>
  <si>
    <t xml:space="preserve">PetroSep device price used below (links to Pricing Scenarios)</t>
  </si>
  <si>
    <t xml:space="preserve">Cartridge subscription, per 6 months</t>
  </si>
  <si>
    <t xml:space="preserve">Additive monthly cost (₹)</t>
  </si>
  <si>
    <t xml:space="preserve">Month</t>
  </si>
  <si>
    <t xml:space="preserve">PetroSep (device + cartridges)</t>
  </si>
  <si>
    <t xml:space="preserve">PTFE/Viton retrofit (one-time)</t>
  </si>
  <si>
    <t xml:space="preserve">Additive + filter maintenance (status quo)</t>
  </si>
  <si>
    <t xml:space="preserve">Filter service, every 6 months (₹)</t>
  </si>
  <si>
    <t xml:space="preserve">Breakeven vs. additive/filter route (month PetroSep TCO &lt; status quo TCO)</t>
  </si>
  <si>
    <t xml:space="preserve">Note: fleet/commercial vehicles run 3-5x the monthly distance of a personal rider — compresses the same breakeven to ~6-8 weeks (see GTM Phase 1 assumptions).</t>
  </si>
  <si>
    <t xml:space="preserve">Assumptions &amp; Sources</t>
  </si>
  <si>
    <t xml:space="preserve">All prices in ₹ (INR), illustrative and pre-diligence — replace blue cells with real supplier quotes before using in investor materials.</t>
  </si>
  <si>
    <t xml:space="preserve">Market context (as of July 2026, used to justify the price move from ₹4,500 → ₹4,999 standard):</t>
  </si>
  <si>
    <t xml:space="preserve">- LocalCircles survey, June 2026 (44,000+ respondents, 305 districts): 66% of pre-2023 vehicle owners report &gt;10% mileage drop, up from 45% in May 2026; 55% report increased wear/repair need, up from 29% a month earlier.</t>
  </si>
  <si>
    <t xml:space="preserve">- Same survey: 53% of petrol vehicle owners rate the government's E20 rollout handling 'disastrous' (42%) or 'ineffective'; only 13% rate it positively.</t>
  </si>
  <si>
    <t xml:space="preserve">- Ministry of Petroleum &amp; Natural Gas (Jul 2026) has itself now conceded E20 'may reduce' mileage by 3-5%, and stated E20 is currently costlier to produce than pure petrol at ~$70/barrel crude — so no pump-price relief is coming.</t>
  </si>
  <si>
    <t xml:space="preserve">- Supreme Court dismissed the PIL against the E20 rollout (Sep 2025) and has not ordered a consumer opt-out; the Centre told the Court in July 2026 the programme remains 'evolving' with impact 'clearer by 2027', and current policy runs through at least 31 Oct 2026 pending an Inter-Ministerial Committee review.</t>
  </si>
  <si>
    <t xml:space="preserve">  =&gt; Net effect for positioning: regulatory reversal risk is low (Slide 12's stance holds), but consumer pain and distrust in official messaging are both rising — this is the moment to lead with 'we fix it, we don't argue about it' rather than a pure cost-savings pitch.</t>
  </si>
  <si>
    <t xml:space="preserve">Pricing logic:</t>
  </si>
  <si>
    <t xml:space="preserve">- Fully-loaded unit cost refined from the original single ₹2,150 landed-cost line into 9 BOM components + assembly + freight + a 5% warranty/service reserve.</t>
  </si>
  <si>
    <t xml:space="preserve">- Three price points mirror the synthetic survey's A/B/C price test so the (future) real survey and this model speak the same language.</t>
  </si>
  <si>
    <t xml:space="preserve">- EMI and subscription options directly target the 'upfront cost' objection the original deck's competitive table already flags as PetroSep's main disadvantage vs. additives.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</si>
</sst>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"/>
    <numFmt numFmtId="166" formatCode="0.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729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7293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n">
        <v>260</v>
      </c>
      <c r="D5" s="6" t="s">
        <v>8</v>
      </c>
    </row>
    <row r="6" customFormat="false" ht="15" hidden="false" customHeight="false" outlineLevel="0" collapsed="false">
      <c r="A6" s="4" t="s">
        <v>9</v>
      </c>
      <c r="B6" s="4" t="s">
        <v>7</v>
      </c>
      <c r="C6" s="5" t="n">
        <v>420</v>
      </c>
      <c r="D6" s="6" t="s">
        <v>10</v>
      </c>
    </row>
    <row r="7" customFormat="false" ht="15" hidden="false" customHeight="false" outlineLevel="0" collapsed="false">
      <c r="A7" s="4" t="s">
        <v>11</v>
      </c>
      <c r="B7" s="4" t="s">
        <v>7</v>
      </c>
      <c r="C7" s="5" t="n">
        <v>360</v>
      </c>
      <c r="D7" s="6" t="s">
        <v>12</v>
      </c>
    </row>
    <row r="8" customFormat="false" ht="15" hidden="false" customHeight="false" outlineLevel="0" collapsed="false">
      <c r="A8" s="4" t="s">
        <v>13</v>
      </c>
      <c r="B8" s="4" t="s">
        <v>7</v>
      </c>
      <c r="C8" s="5" t="n">
        <v>180</v>
      </c>
      <c r="D8" s="6" t="s">
        <v>14</v>
      </c>
    </row>
    <row r="9" customFormat="false" ht="15" hidden="false" customHeight="false" outlineLevel="0" collapsed="false">
      <c r="A9" s="4" t="s">
        <v>15</v>
      </c>
      <c r="B9" s="4" t="s">
        <v>7</v>
      </c>
      <c r="C9" s="5" t="n">
        <v>150</v>
      </c>
      <c r="D9" s="6" t="s">
        <v>16</v>
      </c>
    </row>
    <row r="10" customFormat="false" ht="15" hidden="false" customHeight="false" outlineLevel="0" collapsed="false">
      <c r="A10" s="4" t="s">
        <v>17</v>
      </c>
      <c r="B10" s="4" t="s">
        <v>7</v>
      </c>
      <c r="C10" s="5" t="n">
        <v>140</v>
      </c>
      <c r="D10" s="6" t="s">
        <v>18</v>
      </c>
    </row>
    <row r="11" customFormat="false" ht="15" hidden="false" customHeight="false" outlineLevel="0" collapsed="false">
      <c r="A11" s="4" t="s">
        <v>19</v>
      </c>
      <c r="B11" s="4" t="s">
        <v>7</v>
      </c>
      <c r="C11" s="5" t="n">
        <v>160</v>
      </c>
      <c r="D11" s="6" t="s">
        <v>20</v>
      </c>
    </row>
    <row r="12" customFormat="false" ht="15" hidden="false" customHeight="false" outlineLevel="0" collapsed="false">
      <c r="A12" s="4" t="s">
        <v>21</v>
      </c>
      <c r="B12" s="4" t="s">
        <v>7</v>
      </c>
      <c r="C12" s="5" t="n">
        <v>110</v>
      </c>
      <c r="D12" s="6" t="s">
        <v>22</v>
      </c>
    </row>
    <row r="13" customFormat="false" ht="15" hidden="false" customHeight="false" outlineLevel="0" collapsed="false">
      <c r="A13" s="4" t="s">
        <v>23</v>
      </c>
      <c r="B13" s="4" t="s">
        <v>7</v>
      </c>
      <c r="C13" s="5" t="n">
        <v>60</v>
      </c>
      <c r="D13" s="6"/>
    </row>
    <row r="14" customFormat="false" ht="15" hidden="false" customHeight="false" outlineLevel="0" collapsed="false">
      <c r="A14" s="7" t="s">
        <v>24</v>
      </c>
      <c r="B14" s="8"/>
      <c r="C14" s="9" t="n">
        <f aca="false">SUM(C5:C13)</f>
        <v>1840</v>
      </c>
      <c r="D14" s="8"/>
    </row>
    <row r="15" customFormat="false" ht="15" hidden="false" customHeight="false" outlineLevel="0" collapsed="false">
      <c r="A15" s="4" t="s">
        <v>25</v>
      </c>
      <c r="B15" s="10"/>
      <c r="C15" s="5" t="n">
        <v>350</v>
      </c>
      <c r="D15" s="10"/>
    </row>
    <row r="16" customFormat="false" ht="15" hidden="false" customHeight="false" outlineLevel="0" collapsed="false">
      <c r="A16" s="4" t="s">
        <v>26</v>
      </c>
      <c r="B16" s="10"/>
      <c r="C16" s="5" t="n">
        <v>90</v>
      </c>
      <c r="D16" s="10"/>
    </row>
    <row r="17" customFormat="false" ht="15" hidden="false" customHeight="false" outlineLevel="0" collapsed="false">
      <c r="A17" s="11" t="s">
        <v>27</v>
      </c>
      <c r="B17" s="12"/>
      <c r="C17" s="13" t="n">
        <f aca="false">C14+C15+C16</f>
        <v>2280</v>
      </c>
      <c r="D17" s="12"/>
    </row>
    <row r="19" customFormat="false" ht="15" hidden="false" customHeight="false" outlineLevel="0" collapsed="false">
      <c r="A19" s="4" t="s">
        <v>28</v>
      </c>
      <c r="B19" s="10"/>
      <c r="C19" s="14" t="n">
        <f aca="false">0.05*C17</f>
        <v>114</v>
      </c>
      <c r="D19" s="10"/>
    </row>
    <row r="20" customFormat="false" ht="15" hidden="false" customHeight="false" outlineLevel="0" collapsed="false">
      <c r="A20" s="11" t="s">
        <v>29</v>
      </c>
      <c r="B20" s="12"/>
      <c r="C20" s="13" t="n">
        <f aca="false">C17+C19</f>
        <v>2394</v>
      </c>
      <c r="D2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5" t="s">
        <v>29</v>
      </c>
      <c r="C4" s="16" t="n">
        <f aca="false">'Cost Build-Up'!C20</f>
        <v>2394</v>
      </c>
    </row>
    <row r="6" customFormat="false" ht="15" hidden="false" customHeight="false" outlineLevel="0" collapsed="false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</row>
    <row r="7" customFormat="false" ht="22.35" hidden="false" customHeight="false" outlineLevel="0" collapsed="false">
      <c r="A7" s="4" t="s">
        <v>37</v>
      </c>
      <c r="B7" s="5" t="n">
        <v>3999</v>
      </c>
      <c r="C7" s="17" t="n">
        <f aca="false">B7-$C$4</f>
        <v>1605</v>
      </c>
      <c r="D7" s="18" t="n">
        <f aca="false">C7/B7</f>
        <v>0.401350337584396</v>
      </c>
      <c r="E7" s="19" t="s">
        <v>38</v>
      </c>
    </row>
    <row r="8" customFormat="false" ht="45.75" hidden="false" customHeight="true" outlineLevel="0" collapsed="false">
      <c r="A8" s="4" t="s">
        <v>39</v>
      </c>
      <c r="B8" s="5" t="n">
        <v>4999</v>
      </c>
      <c r="C8" s="17" t="n">
        <f aca="false">B8-$C$4</f>
        <v>2605</v>
      </c>
      <c r="D8" s="18" t="n">
        <f aca="false">C8/B8</f>
        <v>0.521104220844169</v>
      </c>
      <c r="E8" s="19" t="s">
        <v>40</v>
      </c>
    </row>
    <row r="9" customFormat="false" ht="45.75" hidden="false" customHeight="true" outlineLevel="0" collapsed="false">
      <c r="A9" s="4" t="s">
        <v>41</v>
      </c>
      <c r="B9" s="5" t="n">
        <v>5999</v>
      </c>
      <c r="C9" s="17" t="n">
        <f aca="false">B9-$C$4</f>
        <v>3605</v>
      </c>
      <c r="D9" s="18" t="n">
        <f aca="false">C9/B9</f>
        <v>0.600933488914819</v>
      </c>
      <c r="E9" s="19" t="s">
        <v>42</v>
      </c>
    </row>
    <row r="11" customFormat="false" ht="15" hidden="false" customHeight="false" outlineLevel="0" collapsed="false">
      <c r="A11" s="15" t="s">
        <v>43</v>
      </c>
    </row>
    <row r="13" customFormat="false" ht="15" hidden="false" customHeight="false" outlineLevel="0" collapsed="false">
      <c r="A13" s="15" t="s">
        <v>44</v>
      </c>
    </row>
    <row r="14" customFormat="false" ht="15" hidden="false" customHeight="false" outlineLevel="0" collapsed="false">
      <c r="A14" s="3" t="s">
        <v>45</v>
      </c>
      <c r="B14" s="3" t="s">
        <v>46</v>
      </c>
      <c r="C14" s="3" t="s">
        <v>47</v>
      </c>
      <c r="D14" s="3" t="s">
        <v>5</v>
      </c>
    </row>
    <row r="15" customFormat="false" ht="15" hidden="false" customHeight="false" outlineLevel="0" collapsed="false">
      <c r="A15" s="4" t="s">
        <v>48</v>
      </c>
      <c r="B15" s="17" t="n">
        <f aca="false">B8</f>
        <v>4999</v>
      </c>
      <c r="C15" s="17" t="n">
        <f aca="false">B15/10</f>
        <v>499.9</v>
      </c>
      <c r="D15" s="6" t="s">
        <v>49</v>
      </c>
    </row>
    <row r="16" customFormat="false" ht="15" hidden="false" customHeight="false" outlineLevel="0" collapsed="false">
      <c r="A16" s="4" t="s">
        <v>50</v>
      </c>
      <c r="B16" s="5" t="n">
        <v>180</v>
      </c>
      <c r="C16" s="17" t="n">
        <f aca="false">B16/6</f>
        <v>30</v>
      </c>
      <c r="D16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6" min="6" style="0" width="3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15" t="s">
        <v>54</v>
      </c>
      <c r="C4" s="16" t="n">
        <f aca="false">'Pricing Scenarios'!B8</f>
        <v>4999</v>
      </c>
    </row>
    <row r="5" customFormat="false" ht="15" hidden="false" customHeight="false" outlineLevel="0" collapsed="false">
      <c r="A5" s="0" t="s">
        <v>55</v>
      </c>
      <c r="C5" s="16" t="n">
        <f aca="false">'Pricing Scenarios'!C16*6</f>
        <v>180</v>
      </c>
    </row>
    <row r="6" customFormat="false" ht="15" hidden="false" customHeight="false" outlineLevel="0" collapsed="false">
      <c r="F6" s="15" t="s">
        <v>56</v>
      </c>
      <c r="G6" s="20" t="n">
        <v>400</v>
      </c>
    </row>
    <row r="7" customFormat="false" ht="23.85" hidden="false" customHeight="false" outlineLevel="0" collapsed="false">
      <c r="A7" s="3" t="s">
        <v>57</v>
      </c>
      <c r="B7" s="3" t="s">
        <v>58</v>
      </c>
      <c r="C7" s="3" t="s">
        <v>59</v>
      </c>
      <c r="D7" s="3" t="s">
        <v>60</v>
      </c>
      <c r="F7" s="15" t="s">
        <v>61</v>
      </c>
      <c r="G7" s="20" t="n">
        <v>700</v>
      </c>
    </row>
    <row r="8" customFormat="false" ht="15" hidden="false" customHeight="false" outlineLevel="0" collapsed="false">
      <c r="A8" s="4" t="n">
        <v>0</v>
      </c>
      <c r="B8" s="17" t="n">
        <f aca="false">$C$4</f>
        <v>4999</v>
      </c>
      <c r="C8" s="5" t="n">
        <v>3250</v>
      </c>
      <c r="D8" s="17" t="n">
        <f aca="false">$G$6*0 + $G$7*0</f>
        <v>0</v>
      </c>
    </row>
    <row r="9" customFormat="false" ht="15" hidden="false" customHeight="false" outlineLevel="0" collapsed="false">
      <c r="A9" s="4" t="n">
        <v>6</v>
      </c>
      <c r="B9" s="17" t="n">
        <f aca="false">B8+$C$5</f>
        <v>5179</v>
      </c>
      <c r="C9" s="5" t="n">
        <v>3250</v>
      </c>
      <c r="D9" s="17" t="n">
        <f aca="false">$G$6*6 + $G$7*1</f>
        <v>3100</v>
      </c>
    </row>
    <row r="10" customFormat="false" ht="15" hidden="false" customHeight="false" outlineLevel="0" collapsed="false">
      <c r="A10" s="4" t="n">
        <v>12</v>
      </c>
      <c r="B10" s="17" t="n">
        <f aca="false">B9+$C$5</f>
        <v>5359</v>
      </c>
      <c r="C10" s="5" t="n">
        <v>3250</v>
      </c>
      <c r="D10" s="17" t="n">
        <f aca="false">$G$6*12 + $G$7*2</f>
        <v>6200</v>
      </c>
    </row>
    <row r="11" customFormat="false" ht="15" hidden="false" customHeight="false" outlineLevel="0" collapsed="false">
      <c r="A11" s="4" t="n">
        <v>18</v>
      </c>
      <c r="B11" s="17" t="n">
        <f aca="false">B10+$C$5</f>
        <v>5539</v>
      </c>
      <c r="C11" s="5" t="n">
        <v>3250</v>
      </c>
      <c r="D11" s="17" t="n">
        <f aca="false">$G$6*18 + $G$7*3</f>
        <v>9300</v>
      </c>
    </row>
    <row r="12" customFormat="false" ht="15" hidden="false" customHeight="false" outlineLevel="0" collapsed="false">
      <c r="A12" s="4" t="n">
        <v>24</v>
      </c>
      <c r="B12" s="17" t="n">
        <f aca="false">B11+$C$5</f>
        <v>5719</v>
      </c>
      <c r="C12" s="5" t="n">
        <v>3250</v>
      </c>
      <c r="D12" s="17" t="n">
        <f aca="false">$G$6*24 + $G$7*4</f>
        <v>12400</v>
      </c>
    </row>
    <row r="14" customFormat="false" ht="15" hidden="false" customHeight="false" outlineLevel="0" collapsed="false">
      <c r="A14" s="15" t="s">
        <v>62</v>
      </c>
      <c r="B14" s="21" t="n">
        <f aca="false">INDEX(A8:A12,MATCH(TRUE(),INDEX(B8:B12&lt;D8:D12,0),0))</f>
        <v>12</v>
      </c>
    </row>
    <row r="15" customFormat="false" ht="15" hidden="false" customHeight="false" outlineLevel="0" collapsed="false">
      <c r="A15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64</v>
      </c>
    </row>
    <row r="3" customFormat="false" ht="15" hidden="false" customHeight="false" outlineLevel="0" collapsed="false">
      <c r="A3" s="22" t="s">
        <v>65</v>
      </c>
    </row>
    <row r="4" customFormat="false" ht="15" hidden="false" customHeight="false" outlineLevel="0" collapsed="false">
      <c r="A4" s="22"/>
    </row>
    <row r="5" customFormat="false" ht="15" hidden="false" customHeight="false" outlineLevel="0" collapsed="false">
      <c r="A5" s="22" t="s">
        <v>66</v>
      </c>
    </row>
    <row r="6" customFormat="false" ht="23.85" hidden="false" customHeight="false" outlineLevel="0" collapsed="false">
      <c r="A6" s="22" t="s">
        <v>67</v>
      </c>
    </row>
    <row r="7" customFormat="false" ht="15" hidden="false" customHeight="false" outlineLevel="0" collapsed="false">
      <c r="A7" s="22" t="s">
        <v>68</v>
      </c>
    </row>
    <row r="8" customFormat="false" ht="23.85" hidden="false" customHeight="false" outlineLevel="0" collapsed="false">
      <c r="A8" s="22" t="s">
        <v>69</v>
      </c>
    </row>
    <row r="9" customFormat="false" ht="23.85" hidden="false" customHeight="false" outlineLevel="0" collapsed="false">
      <c r="A9" s="22" t="s">
        <v>70</v>
      </c>
    </row>
    <row r="10" customFormat="false" ht="23.85" hidden="false" customHeight="false" outlineLevel="0" collapsed="false">
      <c r="A10" s="22" t="s">
        <v>71</v>
      </c>
    </row>
    <row r="11" customFormat="false" ht="15" hidden="false" customHeight="false" outlineLevel="0" collapsed="false">
      <c r="A11" s="22"/>
    </row>
    <row r="12" customFormat="false" ht="15" hidden="false" customHeight="false" outlineLevel="0" collapsed="false">
      <c r="A12" s="22" t="s">
        <v>72</v>
      </c>
    </row>
    <row r="13" customFormat="false" ht="15" hidden="false" customHeight="false" outlineLevel="0" collapsed="false">
      <c r="A13" s="22" t="s">
        <v>73</v>
      </c>
    </row>
    <row r="14" customFormat="false" ht="15" hidden="false" customHeight="false" outlineLevel="0" collapsed="false">
      <c r="A14" s="22" t="s">
        <v>74</v>
      </c>
    </row>
    <row r="15" customFormat="false" ht="15" hidden="false" customHeight="false" outlineLevel="0" collapsed="false">
      <c r="A15" s="2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2026-07-22T07:30:06Z</dcterms:created>
  <dc:creator>openpyxl</dc:creator>
  <dc:description/>
  <dc:language>en-US</dc:language>
  <cp:lastModifiedBy/>
  <dcterms:modified xsi:type="dcterms:W3CDTF">2026-07-22T07:31:15Z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